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wa/Library/Mobile Documents/com~apple~CloudDocs/techdrive/Excel/Excercise Files/"/>
    </mc:Choice>
  </mc:AlternateContent>
  <xr:revisionPtr revIDLastSave="0" documentId="13_ncr:1_{646F5F28-B930-9B43-8079-DE14F053F5D2}" xr6:coauthVersionLast="47" xr6:coauthVersionMax="47" xr10:uidLastSave="{00000000-0000-0000-0000-000000000000}"/>
  <bookViews>
    <workbookView xWindow="0" yWindow="600" windowWidth="38400" windowHeight="19780" xr2:uid="{87086D7C-E15A-4DDD-84EA-511E0F01876E}"/>
  </bookViews>
  <sheets>
    <sheet name="ROUNDING" sheetId="1" r:id="rId1"/>
    <sheet name="MROUND" sheetId="2" r:id="rId2"/>
    <sheet name="AGGREG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4" i="1"/>
  <c r="C22" i="3"/>
  <c r="C21" i="3"/>
  <c r="C8" i="3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C13" i="3"/>
  <c r="C14" i="3" a="1"/>
  <c r="C14" i="3" s="1"/>
  <c r="D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3" i="2"/>
  <c r="C4" i="3"/>
  <c r="C5" i="3"/>
  <c r="C6" i="3"/>
  <c r="C7" i="3"/>
  <c r="C9" i="3"/>
  <c r="C10" i="3"/>
  <c r="C11" i="3"/>
  <c r="C12" i="3"/>
  <c r="C15" i="3"/>
  <c r="C16" i="3"/>
  <c r="C17" i="3"/>
  <c r="C18" i="3"/>
  <c r="C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<sst xmlns="http://schemas.openxmlformats.org/spreadsheetml/2006/main" count="94" uniqueCount="74">
  <si>
    <t>Invoice #</t>
  </si>
  <si>
    <t>Client</t>
  </si>
  <si>
    <t>Amount</t>
  </si>
  <si>
    <t>INV0001</t>
  </si>
  <si>
    <t>INV0002</t>
  </si>
  <si>
    <t>INV0003</t>
  </si>
  <si>
    <t>INV0004</t>
  </si>
  <si>
    <t>INV0005</t>
  </si>
  <si>
    <t>INV0006</t>
  </si>
  <si>
    <t>INV0007</t>
  </si>
  <si>
    <t>INV0008</t>
  </si>
  <si>
    <t>INV0009</t>
  </si>
  <si>
    <t>INV0010</t>
  </si>
  <si>
    <t>INV0011</t>
  </si>
  <si>
    <t>INV0012</t>
  </si>
  <si>
    <t>INV0013</t>
  </si>
  <si>
    <t>INV0014</t>
  </si>
  <si>
    <t>INV0015</t>
  </si>
  <si>
    <t>INV0016</t>
  </si>
  <si>
    <t>INV0017</t>
  </si>
  <si>
    <t>INV0018</t>
  </si>
  <si>
    <t>INV0019</t>
  </si>
  <si>
    <t>INV0020</t>
  </si>
  <si>
    <t>INV0021</t>
  </si>
  <si>
    <t>INV0022</t>
  </si>
  <si>
    <t>INV0023</t>
  </si>
  <si>
    <t>Canning</t>
  </si>
  <si>
    <t>Fletcher and Sons</t>
  </si>
  <si>
    <t>Michaels</t>
  </si>
  <si>
    <t>Lewis Accounting</t>
  </si>
  <si>
    <t>MRC Goods</t>
  </si>
  <si>
    <t>Sales Tax</t>
  </si>
  <si>
    <t>Total (inc tax)</t>
  </si>
  <si>
    <t>Total</t>
  </si>
  <si>
    <t>Doris Ellis</t>
  </si>
  <si>
    <t>Kristina Daniels</t>
  </si>
  <si>
    <t>Sheila Hamilton</t>
  </si>
  <si>
    <t>Gabriel Porter</t>
  </si>
  <si>
    <t>Erma Neal</t>
  </si>
  <si>
    <t>Mabel Perkins</t>
  </si>
  <si>
    <t>Nancy Gray</t>
  </si>
  <si>
    <t>David Freeman</t>
  </si>
  <si>
    <t>Vernon Barton</t>
  </si>
  <si>
    <t>Jon Dean</t>
  </si>
  <si>
    <t>Lindsay Webb</t>
  </si>
  <si>
    <t>Kara Thornton</t>
  </si>
  <si>
    <t>Deanna Horton</t>
  </si>
  <si>
    <t>Vicki Gill</t>
  </si>
  <si>
    <t>Tamara Reeves</t>
  </si>
  <si>
    <t>Vincent Gonzales</t>
  </si>
  <si>
    <t>Employee</t>
  </si>
  <si>
    <t>Salary</t>
  </si>
  <si>
    <t>Bonus</t>
  </si>
  <si>
    <t>New Salary</t>
  </si>
  <si>
    <t>Product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</si>
  <si>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</si>
  <si>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</si>
  <si>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</si>
  <si>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</si>
  <si>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</si>
  <si>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</si>
  <si>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</si>
  <si>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</si>
  <si>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</si>
  <si>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</si>
  <si>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</si>
  <si>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</si>
  <si>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</si>
  <si>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</si>
  <si>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</si>
  <si>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</si>
  <si>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Price</t>
  </si>
  <si>
    <t>Price (inc tax)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</si>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</sst>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0" applyNumberFormat="1"/>
    <xf numFmtId="0" fontId="4" fillId="2" borderId="0" xfId="0" applyFont="1" applyFill="1"/>
    <xf numFmtId="43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0" fontId="4" fillId="3" borderId="0" xfId="0" applyFont="1" applyFill="1"/>
    <xf numFmtId="0" fontId="2" fillId="4" borderId="0" xfId="0" applyFont="1" applyFill="1"/>
    <xf numFmtId="0" fontId="3" fillId="0" borderId="0" xfId="0" applyFont="1"/>
    <xf numFmtId="164" fontId="0" fillId="5" borderId="1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2</xdr:row>
      <xdr:rowOff>167640</xdr:rowOff>
    </xdr:from>
    <xdr:to>
      <xdr:col>14</xdr:col>
      <xdr:colOff>518160</xdr:colOff>
      <xdr:row>9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FEFEDF7-C23E-48D7-8CE1-1A802221433A}"/>
            </a:ext>
          </a:extLst>
        </xdr:cNvPr>
        <xdr:cNvSpPr txBox="1"/>
      </xdr:nvSpPr>
      <xdr:spPr>
        <a:xfrm>
          <a:off x="7467600" y="533400"/>
          <a:ext cx="2948940" cy="1280160"/>
        </a:xfrm>
        <a:prstGeom prst="rect">
          <a:avLst/>
        </a:prstGeom>
        <a:solidFill>
          <a:schemeClr val="lt1"/>
        </a:solidFill>
        <a:ln w="2857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Exercise</a:t>
          </a:r>
          <a:r>
            <a:rPr lang="en-US" sz="1100" b="1" baseline="0"/>
            <a:t> 05</a:t>
          </a:r>
        </a:p>
        <a:p>
          <a:endParaRPr lang="en-US" sz="1100" baseline="0"/>
        </a:p>
        <a:p>
          <a:r>
            <a:rPr lang="en-US" sz="1100" baseline="0"/>
            <a:t>1. Calculate the Total including tax in column D. </a:t>
          </a:r>
        </a:p>
        <a:p>
          <a:endParaRPr lang="en-US" sz="1100" baseline="0"/>
        </a:p>
        <a:p>
          <a:r>
            <a:rPr lang="en-US" sz="1100" baseline="0"/>
            <a:t>2. Ensure that you ROUNDUP to 2 decimal places. </a:t>
          </a:r>
        </a:p>
        <a:p>
          <a:endParaRPr lang="en-US" sz="110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45720</xdr:colOff>
      <xdr:row>3</xdr:row>
      <xdr:rowOff>0</xdr:rowOff>
    </xdr:from>
    <xdr:to>
      <xdr:col>15</xdr:col>
      <xdr:colOff>556260</xdr:colOff>
      <xdr:row>13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54BB28-381D-4AB3-AEC2-087470016883}"/>
            </a:ext>
          </a:extLst>
        </xdr:cNvPr>
        <xdr:cNvSpPr txBox="1"/>
      </xdr:nvSpPr>
      <xdr:spPr>
        <a:xfrm>
          <a:off x="7734300" y="548640"/>
          <a:ext cx="2948940" cy="1996440"/>
        </a:xfrm>
        <a:prstGeom prst="rect">
          <a:avLst/>
        </a:prstGeom>
        <a:solidFill>
          <a:schemeClr val="lt1"/>
        </a:solidFill>
        <a:ln w="2857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Exercise</a:t>
          </a:r>
          <a:r>
            <a:rPr lang="en-US" sz="1100" b="1" baseline="0"/>
            <a:t> 05</a:t>
          </a:r>
        </a:p>
        <a:p>
          <a:endParaRPr lang="en-US" sz="1100" baseline="0"/>
        </a:p>
        <a:p>
          <a:r>
            <a:rPr lang="en-US" sz="1100" baseline="0"/>
            <a:t>1. Calculate the 'Bonus' for each employee in column C. </a:t>
          </a:r>
        </a:p>
        <a:p>
          <a:endParaRPr lang="en-US" sz="1100" baseline="0"/>
        </a:p>
        <a:p>
          <a:r>
            <a:rPr lang="en-US" sz="1100" baseline="0"/>
            <a:t>2. Calculate the 'New Salary' for each employee in column D. </a:t>
          </a:r>
        </a:p>
        <a:p>
          <a:endParaRPr lang="en-US" sz="1100" baseline="0"/>
        </a:p>
        <a:p>
          <a:r>
            <a:rPr lang="en-US" sz="1100" baseline="0"/>
            <a:t>3. Use Specialized Rounding to round the 'New Salary' to the nearest 100 dollars. </a:t>
          </a:r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</xdr:colOff>
      <xdr:row>2</xdr:row>
      <xdr:rowOff>7620</xdr:rowOff>
    </xdr:from>
    <xdr:to>
      <xdr:col>13</xdr:col>
      <xdr:colOff>541020</xdr:colOff>
      <xdr:row>9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E9D640-C9A5-41D5-83F2-36661B978082}"/>
            </a:ext>
          </a:extLst>
        </xdr:cNvPr>
        <xdr:cNvSpPr txBox="1"/>
      </xdr:nvSpPr>
      <xdr:spPr>
        <a:xfrm>
          <a:off x="6507480" y="373380"/>
          <a:ext cx="2948940" cy="1356360"/>
        </a:xfrm>
        <a:prstGeom prst="rect">
          <a:avLst/>
        </a:prstGeom>
        <a:solidFill>
          <a:schemeClr val="lt1"/>
        </a:solidFill>
        <a:ln w="2857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Exercise</a:t>
          </a:r>
          <a:r>
            <a:rPr lang="en-US" sz="1100" b="1" baseline="0"/>
            <a:t> 05</a:t>
          </a:r>
        </a:p>
        <a:p>
          <a:endParaRPr lang="en-US" sz="1100" baseline="0"/>
        </a:p>
        <a:p>
          <a:r>
            <a:rPr lang="en-US" sz="1100" baseline="0"/>
            <a:t>1. Use the AGGREGATE function to complete the Total and the Average of all prices (inc tax). </a:t>
          </a:r>
        </a:p>
        <a:p>
          <a:endParaRPr lang="en-US" sz="1100" baseline="0"/>
        </a:p>
        <a:p>
          <a:r>
            <a:rPr lang="en-US" sz="1100" baseline="0"/>
            <a:t>2. Ignore errors and hidden rows. </a:t>
          </a:r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E00B-F577-4BDA-B24E-04D1265175DE}">
  <dimension ref="A3:G27"/>
  <sheetViews>
    <sheetView tabSelected="1" zoomScale="130" zoomScaleNormal="130" workbookViewId="0">
      <selection activeCell="H15" sqref="H15"/>
    </sheetView>
  </sheetViews>
  <sheetFormatPr baseColWidth="10" defaultColWidth="8.83203125" defaultRowHeight="15" x14ac:dyDescent="0.2"/>
  <cols>
    <col min="1" max="1" width="13.6640625" customWidth="1"/>
    <col min="2" max="2" width="15.33203125" bestFit="1" customWidth="1"/>
    <col min="3" max="3" width="12.5" customWidth="1"/>
    <col min="4" max="4" width="14" customWidth="1"/>
  </cols>
  <sheetData>
    <row r="3" spans="1:7" x14ac:dyDescent="0.2">
      <c r="A3" s="2" t="s">
        <v>0</v>
      </c>
      <c r="B3" s="2" t="s">
        <v>1</v>
      </c>
      <c r="C3" s="2" t="s">
        <v>2</v>
      </c>
      <c r="D3" s="2" t="s">
        <v>32</v>
      </c>
      <c r="F3" s="2" t="s">
        <v>31</v>
      </c>
      <c r="G3" s="1">
        <v>0.15</v>
      </c>
    </row>
    <row r="4" spans="1:7" x14ac:dyDescent="0.2">
      <c r="A4" t="s">
        <v>3</v>
      </c>
      <c r="B4" t="s">
        <v>28</v>
      </c>
      <c r="C4" s="5">
        <v>2298</v>
      </c>
      <c r="D4" s="3">
        <f>ROUND((C4+($G$3*C4)),2)</f>
        <v>2642.7</v>
      </c>
    </row>
    <row r="5" spans="1:7" x14ac:dyDescent="0.2">
      <c r="A5" t="s">
        <v>4</v>
      </c>
      <c r="B5" t="s">
        <v>28</v>
      </c>
      <c r="C5" s="5">
        <v>1193</v>
      </c>
      <c r="D5" s="3">
        <f t="shared" ref="D5:D26" si="0">ROUND((C5+($G$3*C5)),2)</f>
        <v>1371.95</v>
      </c>
    </row>
    <row r="6" spans="1:7" x14ac:dyDescent="0.2">
      <c r="A6" t="s">
        <v>5</v>
      </c>
      <c r="B6" t="s">
        <v>26</v>
      </c>
      <c r="C6" s="5">
        <v>4226</v>
      </c>
      <c r="D6" s="3">
        <f t="shared" si="0"/>
        <v>4859.8999999999996</v>
      </c>
    </row>
    <row r="7" spans="1:7" x14ac:dyDescent="0.2">
      <c r="A7" t="s">
        <v>6</v>
      </c>
      <c r="B7" t="s">
        <v>26</v>
      </c>
      <c r="C7" s="5">
        <v>4814</v>
      </c>
      <c r="D7" s="3">
        <f t="shared" si="0"/>
        <v>5536.1</v>
      </c>
    </row>
    <row r="8" spans="1:7" x14ac:dyDescent="0.2">
      <c r="A8" t="s">
        <v>7</v>
      </c>
      <c r="B8" t="s">
        <v>30</v>
      </c>
      <c r="C8" s="5">
        <v>4399</v>
      </c>
      <c r="D8" s="3">
        <f t="shared" si="0"/>
        <v>5058.8500000000004</v>
      </c>
    </row>
    <row r="9" spans="1:7" x14ac:dyDescent="0.2">
      <c r="A9" t="s">
        <v>8</v>
      </c>
      <c r="B9" t="s">
        <v>27</v>
      </c>
      <c r="C9" s="5">
        <v>2205</v>
      </c>
      <c r="D9" s="3">
        <f t="shared" si="0"/>
        <v>2535.75</v>
      </c>
    </row>
    <row r="10" spans="1:7" x14ac:dyDescent="0.2">
      <c r="A10" t="s">
        <v>9</v>
      </c>
      <c r="B10" t="s">
        <v>27</v>
      </c>
      <c r="C10" s="5">
        <v>2143</v>
      </c>
      <c r="D10" s="3">
        <f t="shared" si="0"/>
        <v>2464.4499999999998</v>
      </c>
    </row>
    <row r="11" spans="1:7" x14ac:dyDescent="0.2">
      <c r="A11" t="s">
        <v>10</v>
      </c>
      <c r="B11" t="s">
        <v>28</v>
      </c>
      <c r="C11" s="5">
        <v>2091</v>
      </c>
      <c r="D11" s="3">
        <f t="shared" si="0"/>
        <v>2404.65</v>
      </c>
    </row>
    <row r="12" spans="1:7" x14ac:dyDescent="0.2">
      <c r="A12" t="s">
        <v>11</v>
      </c>
      <c r="B12" t="s">
        <v>30</v>
      </c>
      <c r="C12" s="5">
        <v>3749</v>
      </c>
      <c r="D12" s="3">
        <f t="shared" si="0"/>
        <v>4311.3500000000004</v>
      </c>
    </row>
    <row r="13" spans="1:7" x14ac:dyDescent="0.2">
      <c r="A13" t="s">
        <v>12</v>
      </c>
      <c r="B13" t="s">
        <v>26</v>
      </c>
      <c r="C13" s="5">
        <v>4105</v>
      </c>
      <c r="D13" s="3">
        <f t="shared" si="0"/>
        <v>4720.75</v>
      </c>
    </row>
    <row r="14" spans="1:7" x14ac:dyDescent="0.2">
      <c r="A14" t="s">
        <v>13</v>
      </c>
      <c r="B14" t="s">
        <v>29</v>
      </c>
      <c r="C14" s="5">
        <v>2129</v>
      </c>
      <c r="D14" s="3">
        <f t="shared" si="0"/>
        <v>2448.35</v>
      </c>
    </row>
    <row r="15" spans="1:7" x14ac:dyDescent="0.2">
      <c r="A15" t="s">
        <v>14</v>
      </c>
      <c r="B15" t="s">
        <v>30</v>
      </c>
      <c r="C15" s="5">
        <v>4037</v>
      </c>
      <c r="D15" s="3">
        <f t="shared" si="0"/>
        <v>4642.55</v>
      </c>
    </row>
    <row r="16" spans="1:7" x14ac:dyDescent="0.2">
      <c r="A16" t="s">
        <v>15</v>
      </c>
      <c r="B16" t="s">
        <v>30</v>
      </c>
      <c r="C16" s="5">
        <v>2987</v>
      </c>
      <c r="D16" s="3">
        <f t="shared" si="0"/>
        <v>3435.05</v>
      </c>
    </row>
    <row r="17" spans="1:4" x14ac:dyDescent="0.2">
      <c r="A17" t="s">
        <v>16</v>
      </c>
      <c r="B17" t="s">
        <v>29</v>
      </c>
      <c r="C17" s="5">
        <v>2422</v>
      </c>
      <c r="D17" s="3">
        <f t="shared" si="0"/>
        <v>2785.3</v>
      </c>
    </row>
    <row r="18" spans="1:4" x14ac:dyDescent="0.2">
      <c r="A18" t="s">
        <v>17</v>
      </c>
      <c r="B18" t="s">
        <v>27</v>
      </c>
      <c r="C18" s="5">
        <v>1464</v>
      </c>
      <c r="D18" s="3">
        <f t="shared" si="0"/>
        <v>1683.6</v>
      </c>
    </row>
    <row r="19" spans="1:4" x14ac:dyDescent="0.2">
      <c r="A19" t="s">
        <v>18</v>
      </c>
      <c r="B19" t="s">
        <v>30</v>
      </c>
      <c r="C19" s="5">
        <v>3786</v>
      </c>
      <c r="D19" s="3">
        <f t="shared" si="0"/>
        <v>4353.8999999999996</v>
      </c>
    </row>
    <row r="20" spans="1:4" x14ac:dyDescent="0.2">
      <c r="A20" t="s">
        <v>19</v>
      </c>
      <c r="B20" t="s">
        <v>29</v>
      </c>
      <c r="C20" s="5">
        <v>4918</v>
      </c>
      <c r="D20" s="3">
        <f t="shared" si="0"/>
        <v>5655.7</v>
      </c>
    </row>
    <row r="21" spans="1:4" x14ac:dyDescent="0.2">
      <c r="A21" t="s">
        <v>20</v>
      </c>
      <c r="B21" t="s">
        <v>27</v>
      </c>
      <c r="C21" s="5">
        <v>3837</v>
      </c>
      <c r="D21" s="3">
        <f t="shared" si="0"/>
        <v>4412.55</v>
      </c>
    </row>
    <row r="22" spans="1:4" x14ac:dyDescent="0.2">
      <c r="A22" t="s">
        <v>21</v>
      </c>
      <c r="B22" t="s">
        <v>27</v>
      </c>
      <c r="C22" s="5">
        <v>2587</v>
      </c>
      <c r="D22" s="3">
        <f t="shared" si="0"/>
        <v>2975.05</v>
      </c>
    </row>
    <row r="23" spans="1:4" x14ac:dyDescent="0.2">
      <c r="A23" t="s">
        <v>22</v>
      </c>
      <c r="B23" t="s">
        <v>28</v>
      </c>
      <c r="C23" s="5">
        <v>4598</v>
      </c>
      <c r="D23" s="3">
        <f t="shared" si="0"/>
        <v>5287.7</v>
      </c>
    </row>
    <row r="24" spans="1:4" x14ac:dyDescent="0.2">
      <c r="A24" t="s">
        <v>23</v>
      </c>
      <c r="B24" t="s">
        <v>27</v>
      </c>
      <c r="C24" s="5">
        <v>3523</v>
      </c>
      <c r="D24" s="3">
        <f t="shared" si="0"/>
        <v>4051.45</v>
      </c>
    </row>
    <row r="25" spans="1:4" x14ac:dyDescent="0.2">
      <c r="A25" t="s">
        <v>24</v>
      </c>
      <c r="B25" t="s">
        <v>26</v>
      </c>
      <c r="C25" s="5">
        <v>1335</v>
      </c>
      <c r="D25" s="3">
        <f t="shared" si="0"/>
        <v>1535.25</v>
      </c>
    </row>
    <row r="26" spans="1:4" x14ac:dyDescent="0.2">
      <c r="A26" t="s">
        <v>25</v>
      </c>
      <c r="B26" t="s">
        <v>29</v>
      </c>
      <c r="C26" s="5">
        <v>4250</v>
      </c>
      <c r="D26" s="3">
        <f t="shared" si="0"/>
        <v>4887.5</v>
      </c>
    </row>
    <row r="27" spans="1:4" x14ac:dyDescent="0.2">
      <c r="C27" s="4"/>
      <c r="D27" s="4"/>
    </row>
  </sheetData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FBF44-5247-40DB-8B3B-2903F900BB0D}">
  <dimension ref="A2:G18"/>
  <sheetViews>
    <sheetView workbookViewId="0">
      <selection activeCell="D3" sqref="D3:D18"/>
    </sheetView>
  </sheetViews>
  <sheetFormatPr baseColWidth="10" defaultColWidth="8.83203125" defaultRowHeight="15" x14ac:dyDescent="0.2"/>
  <cols>
    <col min="1" max="1" width="15" bestFit="1" customWidth="1"/>
    <col min="2" max="2" width="12" customWidth="1"/>
    <col min="3" max="3" width="11.1640625" customWidth="1"/>
    <col min="4" max="4" width="11.83203125" customWidth="1"/>
  </cols>
  <sheetData>
    <row r="2" spans="1:7" x14ac:dyDescent="0.2">
      <c r="A2" s="6" t="s">
        <v>50</v>
      </c>
      <c r="B2" s="6" t="s">
        <v>51</v>
      </c>
      <c r="C2" s="6" t="s">
        <v>52</v>
      </c>
      <c r="D2" s="6" t="s">
        <v>53</v>
      </c>
      <c r="F2" s="6" t="s">
        <v>52</v>
      </c>
      <c r="G2" s="1">
        <v>0.04</v>
      </c>
    </row>
    <row r="3" spans="1:7" x14ac:dyDescent="0.2">
      <c r="A3" t="s">
        <v>34</v>
      </c>
      <c r="B3" s="5">
        <v>28566</v>
      </c>
      <c r="C3" s="3">
        <f>B3*$G$2</f>
        <v>1142.6400000000001</v>
      </c>
      <c r="D3" s="3">
        <f>MROUND(B3+C3, 100)</f>
        <v>29700</v>
      </c>
    </row>
    <row r="4" spans="1:7" x14ac:dyDescent="0.2">
      <c r="A4" t="s">
        <v>35</v>
      </c>
      <c r="B4" s="5">
        <v>29074</v>
      </c>
      <c r="C4" s="3">
        <f t="shared" ref="C4:C18" si="0">B4*$G$2</f>
        <v>1162.96</v>
      </c>
      <c r="D4" s="3">
        <f t="shared" ref="D4:D18" si="1">MROUND(B4+C4, 100)</f>
        <v>30200</v>
      </c>
    </row>
    <row r="5" spans="1:7" x14ac:dyDescent="0.2">
      <c r="A5" t="s">
        <v>36</v>
      </c>
      <c r="B5" s="5">
        <v>30508</v>
      </c>
      <c r="C5" s="3">
        <f t="shared" si="0"/>
        <v>1220.32</v>
      </c>
      <c r="D5" s="3">
        <f t="shared" si="1"/>
        <v>31700</v>
      </c>
    </row>
    <row r="6" spans="1:7" x14ac:dyDescent="0.2">
      <c r="A6" t="s">
        <v>37</v>
      </c>
      <c r="B6" s="5">
        <v>31893</v>
      </c>
      <c r="C6" s="3">
        <f t="shared" si="0"/>
        <v>1275.72</v>
      </c>
      <c r="D6" s="3">
        <f t="shared" si="1"/>
        <v>33200</v>
      </c>
    </row>
    <row r="7" spans="1:7" x14ac:dyDescent="0.2">
      <c r="A7" t="s">
        <v>38</v>
      </c>
      <c r="B7" s="5">
        <v>44648</v>
      </c>
      <c r="C7" s="3">
        <f t="shared" si="0"/>
        <v>1785.92</v>
      </c>
      <c r="D7" s="3">
        <f t="shared" si="1"/>
        <v>46400</v>
      </c>
    </row>
    <row r="8" spans="1:7" x14ac:dyDescent="0.2">
      <c r="A8" t="s">
        <v>39</v>
      </c>
      <c r="B8" s="5">
        <v>35369</v>
      </c>
      <c r="C8" s="3">
        <f t="shared" si="0"/>
        <v>1414.76</v>
      </c>
      <c r="D8" s="3">
        <f t="shared" si="1"/>
        <v>36800</v>
      </c>
    </row>
    <row r="9" spans="1:7" x14ac:dyDescent="0.2">
      <c r="A9" t="s">
        <v>40</v>
      </c>
      <c r="B9" s="5">
        <v>28685</v>
      </c>
      <c r="C9" s="3">
        <f t="shared" si="0"/>
        <v>1147.4000000000001</v>
      </c>
      <c r="D9" s="3">
        <f t="shared" si="1"/>
        <v>29800</v>
      </c>
    </row>
    <row r="10" spans="1:7" x14ac:dyDescent="0.2">
      <c r="A10" t="s">
        <v>41</v>
      </c>
      <c r="B10" s="5">
        <v>41241</v>
      </c>
      <c r="C10" s="3">
        <f t="shared" si="0"/>
        <v>1649.64</v>
      </c>
      <c r="D10" s="3">
        <f t="shared" si="1"/>
        <v>42900</v>
      </c>
    </row>
    <row r="11" spans="1:7" x14ac:dyDescent="0.2">
      <c r="A11" t="s">
        <v>42</v>
      </c>
      <c r="B11" s="5">
        <v>43449</v>
      </c>
      <c r="C11" s="3">
        <f t="shared" si="0"/>
        <v>1737.96</v>
      </c>
      <c r="D11" s="3">
        <f t="shared" si="1"/>
        <v>45200</v>
      </c>
    </row>
    <row r="12" spans="1:7" x14ac:dyDescent="0.2">
      <c r="A12" t="s">
        <v>43</v>
      </c>
      <c r="B12" s="5">
        <v>39750</v>
      </c>
      <c r="C12" s="3">
        <f t="shared" si="0"/>
        <v>1590</v>
      </c>
      <c r="D12" s="3">
        <f t="shared" si="1"/>
        <v>41300</v>
      </c>
    </row>
    <row r="13" spans="1:7" x14ac:dyDescent="0.2">
      <c r="A13" t="s">
        <v>44</v>
      </c>
      <c r="B13" s="5">
        <v>34104</v>
      </c>
      <c r="C13" s="3">
        <f t="shared" si="0"/>
        <v>1364.16</v>
      </c>
      <c r="D13" s="3">
        <f t="shared" si="1"/>
        <v>35500</v>
      </c>
    </row>
    <row r="14" spans="1:7" x14ac:dyDescent="0.2">
      <c r="A14" t="s">
        <v>45</v>
      </c>
      <c r="B14" s="5">
        <v>37279</v>
      </c>
      <c r="C14" s="3">
        <f t="shared" si="0"/>
        <v>1491.16</v>
      </c>
      <c r="D14" s="3">
        <f t="shared" si="1"/>
        <v>38800</v>
      </c>
    </row>
    <row r="15" spans="1:7" x14ac:dyDescent="0.2">
      <c r="A15" t="s">
        <v>46</v>
      </c>
      <c r="B15" s="5">
        <v>26567</v>
      </c>
      <c r="C15" s="3">
        <f t="shared" si="0"/>
        <v>1062.68</v>
      </c>
      <c r="D15" s="3">
        <f t="shared" si="1"/>
        <v>27600</v>
      </c>
    </row>
    <row r="16" spans="1:7" x14ac:dyDescent="0.2">
      <c r="A16" t="s">
        <v>47</v>
      </c>
      <c r="B16" s="5">
        <v>45754</v>
      </c>
      <c r="C16" s="3">
        <f t="shared" si="0"/>
        <v>1830.16</v>
      </c>
      <c r="D16" s="3">
        <f t="shared" si="1"/>
        <v>47600</v>
      </c>
    </row>
    <row r="17" spans="1:4" x14ac:dyDescent="0.2">
      <c r="A17" t="s">
        <v>48</v>
      </c>
      <c r="B17" s="5">
        <v>28535</v>
      </c>
      <c r="C17" s="3">
        <f t="shared" si="0"/>
        <v>1141.4000000000001</v>
      </c>
      <c r="D17" s="3">
        <f t="shared" si="1"/>
        <v>29700</v>
      </c>
    </row>
    <row r="18" spans="1:4" x14ac:dyDescent="0.2">
      <c r="A18" t="s">
        <v>49</v>
      </c>
      <c r="B18" s="5">
        <v>45055</v>
      </c>
      <c r="C18" s="3">
        <f t="shared" si="0"/>
        <v>1802.2</v>
      </c>
      <c r="D18" s="3">
        <f t="shared" si="1"/>
        <v>46900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022B0-3BD3-41F3-9989-336B90FBB275}">
  <dimension ref="A2:G22"/>
  <sheetViews>
    <sheetView workbookViewId="0">
      <selection activeCell="C6" sqref="C6"/>
    </sheetView>
  </sheetViews>
  <sheetFormatPr baseColWidth="10" defaultColWidth="8.83203125" defaultRowHeight="15" x14ac:dyDescent="0.2"/>
  <cols>
    <col min="1" max="1" width="15" bestFit="1" customWidth="1"/>
    <col min="2" max="2" width="12" customWidth="1"/>
    <col min="3" max="3" width="14.1640625" customWidth="1"/>
  </cols>
  <sheetData>
    <row r="2" spans="1:7" x14ac:dyDescent="0.2">
      <c r="A2" s="7" t="s">
        <v>54</v>
      </c>
      <c r="B2" s="7" t="s">
        <v>71</v>
      </c>
      <c r="C2" s="7" t="s">
        <v>72</v>
      </c>
      <c r="F2" s="7" t="s">
        <v>31</v>
      </c>
      <c r="G2" s="1">
        <v>0.12</v>
      </c>
    </row>
    <row r="3" spans="1:7" x14ac:dyDescent="0.2">
      <c r="A3" t="s">
        <v>55</v>
      </c>
      <c r="B3" s="5">
        <v>200</v>
      </c>
      <c r="C3" s="4">
        <f>SUM(B3*$G$2)+B3</f>
        <v>224</v>
      </c>
    </row>
    <row r="4" spans="1:7" x14ac:dyDescent="0.2">
      <c r="A4" t="s">
        <v>56</v>
      </c>
      <c r="B4" s="5">
        <v>300</v>
      </c>
      <c r="C4" s="4">
        <f t="shared" ref="C4:C18" si="0">SUM(B4*$G$2)+B4</f>
        <v>336</v>
      </c>
    </row>
    <row r="5" spans="1:7" x14ac:dyDescent="0.2">
      <c r="A5" t="s">
        <v>57</v>
      </c>
      <c r="B5" s="5">
        <v>300</v>
      </c>
      <c r="C5" s="4">
        <f t="shared" si="0"/>
        <v>336</v>
      </c>
    </row>
    <row r="6" spans="1:7" x14ac:dyDescent="0.2">
      <c r="A6" t="s">
        <v>58</v>
      </c>
      <c r="B6" s="5">
        <v>300</v>
      </c>
      <c r="C6" s="4">
        <f t="shared" si="0"/>
        <v>336</v>
      </c>
    </row>
    <row r="7" spans="1:7" x14ac:dyDescent="0.2">
      <c r="A7" t="s">
        <v>59</v>
      </c>
      <c r="B7" s="5">
        <v>200</v>
      </c>
      <c r="C7" s="4">
        <f t="shared" si="0"/>
        <v>224</v>
      </c>
    </row>
    <row r="8" spans="1:7" x14ac:dyDescent="0.2">
      <c r="A8" t="s">
        <v>60</v>
      </c>
      <c r="B8" s="5">
        <v>300</v>
      </c>
      <c r="C8" s="4">
        <f>SUM(B8*$G$2)+B8</f>
        <v>336</v>
      </c>
    </row>
    <row r="9" spans="1:7" x14ac:dyDescent="0.2">
      <c r="A9" t="s">
        <v>61</v>
      </c>
      <c r="B9" s="5">
        <v>400</v>
      </c>
      <c r="C9" s="4">
        <f t="shared" si="0"/>
        <v>448</v>
      </c>
    </row>
    <row r="10" spans="1:7" x14ac:dyDescent="0.2">
      <c r="A10" t="s">
        <v>62</v>
      </c>
      <c r="B10" s="5">
        <v>400</v>
      </c>
      <c r="C10" s="4">
        <f t="shared" si="0"/>
        <v>448</v>
      </c>
    </row>
    <row r="11" spans="1:7" x14ac:dyDescent="0.2">
      <c r="A11" t="s">
        <v>63</v>
      </c>
      <c r="B11" s="5">
        <v>400</v>
      </c>
      <c r="C11" s="4">
        <f t="shared" si="0"/>
        <v>448</v>
      </c>
    </row>
    <row r="12" spans="1:7" x14ac:dyDescent="0.2">
      <c r="A12" t="s">
        <v>64</v>
      </c>
      <c r="B12" s="5">
        <v>300</v>
      </c>
      <c r="C12" s="4">
        <f t="shared" si="0"/>
        <v>336</v>
      </c>
      <c r="F12" s="4"/>
    </row>
    <row r="13" spans="1:7" x14ac:dyDescent="0.2">
      <c r="A13" t="s">
        <v>65</v>
      </c>
      <c r="B13" s="5">
        <v>400</v>
      </c>
      <c r="C13" t="e">
        <f>SUM(B13*$G$2)+B13/0</f>
        <v>#DIV/0!</v>
      </c>
    </row>
    <row r="14" spans="1:7" x14ac:dyDescent="0.2">
      <c r="A14" t="s">
        <v>66</v>
      </c>
      <c r="B14" s="5">
        <v>300</v>
      </c>
      <c r="C14" s="4" t="e" cm="1">
        <f t="array" aca="1" ref="C14" ca="1">SUEM(B14*$G$2)+B14</f>
        <v>#NAME?</v>
      </c>
    </row>
    <row r="15" spans="1:7" x14ac:dyDescent="0.2">
      <c r="A15" t="s">
        <v>67</v>
      </c>
      <c r="B15" s="5">
        <v>300</v>
      </c>
      <c r="C15" s="4">
        <f t="shared" si="0"/>
        <v>336</v>
      </c>
    </row>
    <row r="16" spans="1:7" hidden="1" x14ac:dyDescent="0.2">
      <c r="A16" t="s">
        <v>68</v>
      </c>
      <c r="B16" s="5">
        <v>300</v>
      </c>
      <c r="C16" s="4">
        <f t="shared" si="0"/>
        <v>336</v>
      </c>
    </row>
    <row r="17" spans="1:3" x14ac:dyDescent="0.2">
      <c r="A17" t="s">
        <v>69</v>
      </c>
      <c r="B17" s="5">
        <v>400</v>
      </c>
      <c r="C17" s="4">
        <f t="shared" si="0"/>
        <v>448</v>
      </c>
    </row>
    <row r="18" spans="1:3" x14ac:dyDescent="0.2">
      <c r="A18" t="s">
        <v>70</v>
      </c>
      <c r="B18" s="5">
        <v>300</v>
      </c>
      <c r="C18" s="4">
        <f t="shared" si="0"/>
        <v>336</v>
      </c>
    </row>
    <row r="20" spans="1:3" x14ac:dyDescent="0.2">
      <c r="C20" s="4"/>
    </row>
    <row r="21" spans="1:3" x14ac:dyDescent="0.2">
      <c r="A21" s="8" t="s">
        <v>33</v>
      </c>
      <c r="C21" s="9">
        <f>SUM(C3,C4:C12,C15:C18)</f>
        <v>4928</v>
      </c>
    </row>
    <row r="22" spans="1:3" x14ac:dyDescent="0.2">
      <c r="A22" s="8" t="s">
        <v>73</v>
      </c>
      <c r="C22" s="9">
        <f>AVERAGE(C3:C12,C15:C18)</f>
        <v>352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ROUNDING</vt:lpstr>
      <vt:lpstr>MROUND</vt:lpstr>
      <vt:lpstr>AGGREGATE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Martins Obaseki</cp:lastModifiedBy>
  <dcterms:created xsi:type="dcterms:W3CDTF">2022-03-08T13:00:13Z</dcterms:created>
  <dcterms:modified xsi:type="dcterms:W3CDTF">2025-12-26T16:40:22Z</dcterms:modified>
</cp:coreProperties>
</file>